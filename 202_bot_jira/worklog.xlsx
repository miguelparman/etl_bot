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7507A0B2-17E0-4F55-95B5-561411E0114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0" i="1" l="1"/>
  <c r="D201" i="1"/>
  <c r="D202" i="1"/>
  <c r="D199" i="1" l="1"/>
  <c r="D198" i="1"/>
  <c r="D197" i="1"/>
  <c r="D196" i="1"/>
  <c r="D194" i="1" l="1"/>
  <c r="D195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<sst xmlns="http://schemas.openxmlformats.org/spreadsheetml/2006/main" count="794" uniqueCount="322">
  <si>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</si>
  <si>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</si>
  <si>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</si>
  <si>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</si>
  <si>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</si>
  <si>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</si>
  <si>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</si>
  <si>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</si>
  <si>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</si>
  <si>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</si>
  <si>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</si>
  <si>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</si>
  <si>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</si>
  <si>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</si>
  <si>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</si>
  <si>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</si>
  <si>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</si>
  <si>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</si>
  <si>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</si>
  <si>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</si>
  <si>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</si>
  <si>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</si>
  <si>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</si>
  <si>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</si>
  <si>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</si>
  <si>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</si>
  <si>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</si>
  <si>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</si>
  <si>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</si>
  <si>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</si>
  <si>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</si>
  <si>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</si>
  <si>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</si>
  <si>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</si>
  <si>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</si>
  <si>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</si>
  <si>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</si>
  <si>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</si>
  <si>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</si>
  <si>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</si>
  <si>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</si>
  <si>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</si>
  <si>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</si>
  <si>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</si>
  <si>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</si>
  <si>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</si>
  <si>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</si>
  <si>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</si>
  <si>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</si>
  <si>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</si>
  <si>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</si>
  <si>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</si>
  <si>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</si>
  <si>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</si>
  <si>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</si>
  <si>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</si>
  <si>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</si>
  <si>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</si>
  <si>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</si>
  <si>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</si>
  <si>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</si>
  <si>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</si>
  <si>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</si>
  <si>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</si>
  <si>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</si>
  <si>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</si>
  <si>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</si>
  <si>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</si>
  <si>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</si>
  <si>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</si>
  <si>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</si>
  <si>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</si>
  <si>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</si>
  <si>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</si>
  <si>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</si>
  <si>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</si>
  <si>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</si>
  <si>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</si>
  <si>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</si>
  <si>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</si>
  <si>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</si>
  <si>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</si>
  <si>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</si>
  <si>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</si>
  <si>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</si>
  <si>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</si>
  <si>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</si>
  <si>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</si>
  <si>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</si>
  <si>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</si>
  <si>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</si>
  <si>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</si>
  <si>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</si>
  <si>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</si>
  <si>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</si>
  <si>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</si>
  <si>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</si>
  <si>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</si>
  <si>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</si>
  <si>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</si>
  <si>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</si>
  <si>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</si>
  <si>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</si>
  <si>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</si>
  <si>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</si>
  <si>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</si>
  <si>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</si>
  <si>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</si>
  <si>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</si>
  <si>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</si>
  <si>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</si>
  <si>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</si>
  <si>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</si>
  <si>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</si>
  <si>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</si>
  <si>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</si>
  <si>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</si>
  <si>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</si>
  <si>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</si>
  <si>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</si>
  <si>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</si>
  <si>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</si>
  <si>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</si>
  <si>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</si>
  <si>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</si>
  <si>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</si>
  <si>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</si>
  <si>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</si>
  <si>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</si>
  <si>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</si>
  <si>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</si>
  <si>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</si>
  <si>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</si>
  <si>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</si>
  <si>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</si>
  <si>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</si>
  <si>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</si>
  <si>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</si>
  <si>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</si>
  <si>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</si>
  <si>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</si>
  <si>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</si>
  <si>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</si>
  <si>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</si>
  <si>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</si>
  <si>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</si>
  <si>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</si>
  <si>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</si>
  <si>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</si>
  <si>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</si>
  <si>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</si>
  <si>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</si>
  <si>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</si>
  <si>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</si>
  <si>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</si>
  <si>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</si>
  <si>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</si>
  <si>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</si>
  <si>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</si>
  <si>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</si>
  <si>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</si>
  <si>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</si>
  <si>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</si>
  <si>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</si>
  <si>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</si>
  <si>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</si>
  <si>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</si>
  <si>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</si>
  <si>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</si>
  <si>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</si>
  <si>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</si>
  <si>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</si>
  <si>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</si>
  <si>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</si>
  <si>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</si>
  <si>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</si>
  <si>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</si>
  <si>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</si>
  <si>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</si>
  <si>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</si>
  <si>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</si>
  <si>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</si>
  <si>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</si>
  <si>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</si>
  <si>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</si>
  <si>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</si>
  <si>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</si>
  <si>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</si>
  <si>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</si>
  <si>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</si>
  <si>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</si>
  <si>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</si>
  <si>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</si>
  <si>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</si>
  <si>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</si>
  <si>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</si>
  <si>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</si>
  <si>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</si>
  <si>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</si>
  <si>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</si>
  <si>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</si>
  <si>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</si>
  <si>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</si>
  <si>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</si>
  <si>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</si>
  <si>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</si>
  <si>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</si>
  <si>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</si>
  <si>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</si>
  <si>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</si>
  <si>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</si>
  <si>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</si>
  <si>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</si>
  <si>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</si>
  <si>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</si>
  <si>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</si>
  <si>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</si>
  <si>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</si>
  <si>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</si>
  <si>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</si>
  <si>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</si>
  <si>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</si>
  <si>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</si>
  <si>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</si>
  <si>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</si>
  <si>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</si>
  <si>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</si>
  <si>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</si>
  <si>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</si>
  <si>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</si>
  <si>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</si>
  <si>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</si>
  <si>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</si>
  <si>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</si>
  <si>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</si>
  <si>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</si>
  <si>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</si>
  <si>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</si>
  <si>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</si>
  <si>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</si>
  <si>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</si>
  <si>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</si>
  <si>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</si>
  <si>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</si>
  <si>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</si>
  <si>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</si>
  <si>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</si>
  <si>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</si>
  <si>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</si>
  <si>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</si>
  <si>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</si>
  <si>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</si>
  <si>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</si>
  <si>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</si>
  <si>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</si>
  <si>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</si>
  <si>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</si>
  <si>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</si>
  <si>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</si>
  <si>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</si>
  <si>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</si>
  <si>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Sí (22/09/2026 08:27)</t>
  </si>
  <si>
    <t>515849</t>
  </si>
  <si>
    <t>Actualización de cuartilizados (al pendiente por dos errores: faltan notas de calidad, faltas registros de logueo)</t>
  </si>
  <si>
    <t>515903</t>
  </si>
  <si>
    <t>Dimensionado</t>
  </si>
  <si>
    <t>515851</t>
  </si>
  <si>
    <t>Autoevaluación teletrabajo, encuesta solicitada por el área de personas</t>
  </si>
  <si>
    <t>515852</t>
  </si>
  <si>
    <t>515904</t>
  </si>
  <si>
    <t>515905</t>
  </si>
  <si>
    <t>DSS-9684</t>
  </si>
  <si>
    <t>Desarrollo ticket</t>
  </si>
  <si>
    <t>515853</t>
  </si>
  <si>
    <t>515906</t>
  </si>
  <si>
    <t>Se desarrollo lo solicitado y se publica el informe</t>
  </si>
  <si>
    <t>515907</t>
  </si>
  <si>
    <t>Migracion plata chile</t>
  </si>
  <si>
    <t>515908</t>
  </si>
  <si>
    <t>Migracion plata chile Creacion MCP servidor local</t>
  </si>
  <si>
    <t>515909</t>
  </si>
  <si>
    <t>515854</t>
  </si>
  <si>
    <t>515910</t>
  </si>
  <si>
    <t>DSS-9727</t>
  </si>
  <si>
    <t>Se habilita el informe salesforces de correos reiterados</t>
  </si>
  <si>
    <t>Sí (actualizado 23/09/2026 07:46)</t>
  </si>
  <si>
    <t>515911</t>
  </si>
  <si>
    <t>Se modifico el programador de tareas conforme lo que se necesita en los diferentes ETL</t>
  </si>
  <si>
    <t>Sí (23/09/2026 07:46)</t>
  </si>
  <si>
    <t>516242</t>
  </si>
  <si>
    <t>516308</t>
  </si>
  <si>
    <t>516309</t>
  </si>
  <si>
    <t>516243</t>
  </si>
  <si>
    <t>DSS-9756</t>
  </si>
  <si>
    <t>Reunion con Andrea y Karen para revisar los requerimientos</t>
  </si>
  <si>
    <t>516310</t>
  </si>
  <si>
    <t>Desarrollo ETL</t>
  </si>
  <si>
    <t>516311</t>
  </si>
  <si>
    <t>516244</t>
  </si>
  <si>
    <t>516312</t>
  </si>
  <si>
    <t>Desarrollo bronce</t>
  </si>
  <si>
    <t>Sí (24/09/2026 10:04)</t>
  </si>
  <si>
    <t>516595</t>
  </si>
  <si>
    <t>Llamada de Diego para revisar el proceso de descarga de base de agentes del portal comercial</t>
  </si>
  <si>
    <t>516596</t>
  </si>
  <si>
    <t>Desarrollo bot descarga agentes del portal comercial</t>
  </si>
  <si>
    <t>516699</t>
  </si>
  <si>
    <t>516597</t>
  </si>
  <si>
    <t>516700</t>
  </si>
  <si>
    <t>516701</t>
  </si>
  <si>
    <t>516598</t>
  </si>
  <si>
    <t>Desarrollo ETL silver y gold</t>
  </si>
  <si>
    <t>516702</t>
  </si>
  <si>
    <t>516599</t>
  </si>
  <si>
    <t>Desarrollo ETL hechos y dimensiones</t>
  </si>
  <si>
    <t>516703</t>
  </si>
  <si>
    <t>516800</t>
  </si>
  <si>
    <t>ISN</t>
  </si>
  <si>
    <t>Impacto cartera</t>
  </si>
  <si>
    <t>Optimizacion lógica informe bi estadistico usuarios</t>
  </si>
  <si>
    <t>Corrida ETL tráfico, calidad, usuarios chile. Con problemas de</t>
  </si>
  <si>
    <t>Migración de cartera a microsfot 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</si>
</sst>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202" totalsRowShown="0" headerRowDxfId="5" headerRowBorderDxfId="4" tableBorderDxfId="3">
  <autoFilter ref="A1:H202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2"/>
  <sheetViews>
    <sheetView tabSelected="1" topLeftCell="A178" workbookViewId="0">
      <selection activeCell="C202" sqref="C202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8" x14ac:dyDescent="0.25">
      <c r="A161" t="s">
        <v>259</v>
      </c>
      <c r="B161" s="1">
        <v>46286.274305555547</v>
      </c>
      <c r="C161" s="3">
        <v>3.472222222222222E-3</v>
      </c>
      <c r="D161" s="3">
        <f>Tabla1[[#This Row],[Fecha]]+Tabla1[[#This Row],[Horas]]</f>
        <v>46286.277777777766</v>
      </c>
      <c r="E161" t="s">
        <v>260</v>
      </c>
      <c r="G161" t="s">
        <v>261</v>
      </c>
      <c r="H161" t="s">
        <v>262</v>
      </c>
    </row>
    <row r="162" spans="1:8" x14ac:dyDescent="0.25">
      <c r="A162" t="s">
        <v>8</v>
      </c>
      <c r="B162" s="1">
        <v>46286.277777777781</v>
      </c>
      <c r="C162" s="3">
        <v>5.9027777777777783E-2</v>
      </c>
      <c r="D162" s="3">
        <f>Tabla1[[#This Row],[Fecha]]+Tabla1[[#This Row],[Horas]]</f>
        <v>46286.336805555562</v>
      </c>
      <c r="E162" t="s">
        <v>263</v>
      </c>
      <c r="G162" t="s">
        <v>261</v>
      </c>
      <c r="H162" t="s">
        <v>264</v>
      </c>
    </row>
    <row r="163" spans="1:8" x14ac:dyDescent="0.25">
      <c r="A163" t="s">
        <v>8</v>
      </c>
      <c r="B163" s="1">
        <v>46286.336805555547</v>
      </c>
      <c r="C163" s="3">
        <v>1.7361111111111108E-2</v>
      </c>
      <c r="D163" s="3">
        <f>Tabla1[[#This Row],[Fecha]]+Tabla1[[#This Row],[Horas]]</f>
        <v>46286.354166666657</v>
      </c>
      <c r="E163" t="s">
        <v>265</v>
      </c>
      <c r="G163" t="s">
        <v>261</v>
      </c>
      <c r="H163" t="s">
        <v>266</v>
      </c>
    </row>
    <row r="164" spans="1:8" x14ac:dyDescent="0.25">
      <c r="A164" t="s">
        <v>12</v>
      </c>
      <c r="B164" s="1">
        <v>46286.354166666657</v>
      </c>
      <c r="C164" s="3">
        <v>2.0833333333333329E-2</v>
      </c>
      <c r="D164" s="3">
        <f>Tabla1[[#This Row],[Fecha]]+Tabla1[[#This Row],[Horas]]</f>
        <v>46286.374999999993</v>
      </c>
      <c r="E164" t="s">
        <v>267</v>
      </c>
      <c r="G164" t="s">
        <v>261</v>
      </c>
      <c r="H164" t="s">
        <v>268</v>
      </c>
    </row>
    <row r="165" spans="1:8" x14ac:dyDescent="0.25">
      <c r="A165" t="s">
        <v>12</v>
      </c>
      <c r="B165" s="1">
        <v>46286.375</v>
      </c>
      <c r="C165" s="3">
        <v>1.7361111111111108E-2</v>
      </c>
      <c r="D165" s="3">
        <f>Tabla1[[#This Row],[Fecha]]+Tabla1[[#This Row],[Horas]]</f>
        <v>46286.392361111109</v>
      </c>
      <c r="E165" t="s">
        <v>15</v>
      </c>
      <c r="G165" t="s">
        <v>261</v>
      </c>
      <c r="H165" t="s">
        <v>269</v>
      </c>
    </row>
    <row r="166" spans="1:8" x14ac:dyDescent="0.25">
      <c r="A166" t="s">
        <v>8</v>
      </c>
      <c r="B166" s="1">
        <v>46286.392361111109</v>
      </c>
      <c r="C166" s="3">
        <v>1.7361111111111108E-2</v>
      </c>
      <c r="D166" s="3">
        <f>Tabla1[[#This Row],[Fecha]]+Tabla1[[#This Row],[Horas]]</f>
        <v>46286.409722222219</v>
      </c>
      <c r="E166" t="s">
        <v>60</v>
      </c>
      <c r="G166" t="s">
        <v>261</v>
      </c>
      <c r="H166" t="s">
        <v>270</v>
      </c>
    </row>
    <row r="167" spans="1:8" x14ac:dyDescent="0.25">
      <c r="A167" t="s">
        <v>271</v>
      </c>
      <c r="B167" s="1">
        <v>46286.409722222219</v>
      </c>
      <c r="C167" s="3">
        <v>6.5972222222222224E-2</v>
      </c>
      <c r="D167" s="3">
        <f>Tabla1[[#This Row],[Fecha]]+Tabla1[[#This Row],[Horas]]</f>
        <v>46286.475694444438</v>
      </c>
      <c r="E167" t="s">
        <v>272</v>
      </c>
      <c r="G167" t="s">
        <v>261</v>
      </c>
      <c r="H167" t="s">
        <v>273</v>
      </c>
    </row>
    <row r="168" spans="1:8" x14ac:dyDescent="0.25">
      <c r="A168" t="s">
        <v>8</v>
      </c>
      <c r="B168" s="1">
        <v>46286.475694444453</v>
      </c>
      <c r="C168" s="3">
        <v>1.388888888888889E-2</v>
      </c>
      <c r="D168" s="3">
        <f>Tabla1[[#This Row],[Fecha]]+Tabla1[[#This Row],[Horas]]</f>
        <v>46286.489583333343</v>
      </c>
      <c r="E168" t="s">
        <v>20</v>
      </c>
      <c r="G168" t="s">
        <v>261</v>
      </c>
      <c r="H168" t="s">
        <v>274</v>
      </c>
    </row>
    <row r="169" spans="1:8" x14ac:dyDescent="0.25">
      <c r="A169" t="s">
        <v>271</v>
      </c>
      <c r="B169" s="1">
        <v>46286.489583333343</v>
      </c>
      <c r="C169" s="3">
        <v>4.8611111111111112E-2</v>
      </c>
      <c r="D169" s="3">
        <f>Tabla1[[#This Row],[Fecha]]+Tabla1[[#This Row],[Horas]]</f>
        <v>46286.538194444453</v>
      </c>
      <c r="E169" t="s">
        <v>275</v>
      </c>
      <c r="G169" t="s">
        <v>261</v>
      </c>
      <c r="H169" t="s">
        <v>276</v>
      </c>
    </row>
    <row r="170" spans="1:8" x14ac:dyDescent="0.25">
      <c r="A170" t="s">
        <v>12</v>
      </c>
      <c r="B170" s="1">
        <v>46286.538194444453</v>
      </c>
      <c r="C170" s="3">
        <v>4.5138888888888888E-2</v>
      </c>
      <c r="D170" s="3">
        <f>Tabla1[[#This Row],[Fecha]]+Tabla1[[#This Row],[Horas]]</f>
        <v>46286.583333333343</v>
      </c>
      <c r="E170" t="s">
        <v>277</v>
      </c>
      <c r="G170" t="s">
        <v>261</v>
      </c>
      <c r="H170" t="s">
        <v>278</v>
      </c>
    </row>
    <row r="171" spans="1:8" x14ac:dyDescent="0.25">
      <c r="A171" t="s">
        <v>12</v>
      </c>
      <c r="B171" s="1">
        <v>46286.625</v>
      </c>
      <c r="C171" s="3">
        <v>4.1666666666666657E-2</v>
      </c>
      <c r="D171" s="3">
        <f>Tabla1[[#This Row],[Fecha]]+Tabla1[[#This Row],[Horas]]</f>
        <v>46286.666666666664</v>
      </c>
      <c r="E171" t="s">
        <v>279</v>
      </c>
      <c r="G171" t="s">
        <v>261</v>
      </c>
      <c r="H171" t="s">
        <v>280</v>
      </c>
    </row>
    <row r="172" spans="1:8" x14ac:dyDescent="0.25">
      <c r="A172" t="s">
        <v>12</v>
      </c>
      <c r="B172" s="1">
        <v>46286.666666666657</v>
      </c>
      <c r="C172" s="3">
        <v>4.1666666666666657E-2</v>
      </c>
      <c r="D172" s="3">
        <f>Tabla1[[#This Row],[Fecha]]+Tabla1[[#This Row],[Horas]]</f>
        <v>46286.708333333321</v>
      </c>
      <c r="E172" t="s">
        <v>25</v>
      </c>
      <c r="G172" t="s">
        <v>261</v>
      </c>
      <c r="H172" t="s">
        <v>281</v>
      </c>
    </row>
    <row r="173" spans="1:8" x14ac:dyDescent="0.25">
      <c r="A173" t="s">
        <v>8</v>
      </c>
      <c r="B173" s="1">
        <v>46287.270833333343</v>
      </c>
      <c r="C173" s="3">
        <v>3.472222222222222E-3</v>
      </c>
      <c r="D173" s="3">
        <f>Tabla1[[#This Row],[Fecha]]+Tabla1[[#This Row],[Horas]]</f>
        <v>46287.274305555562</v>
      </c>
      <c r="E173" t="s">
        <v>9</v>
      </c>
      <c r="G173" t="s">
        <v>261</v>
      </c>
      <c r="H173" t="s">
        <v>282</v>
      </c>
    </row>
    <row r="174" spans="1:8" x14ac:dyDescent="0.25">
      <c r="A174" t="s">
        <v>283</v>
      </c>
      <c r="B174" s="1">
        <v>46287.274305555547</v>
      </c>
      <c r="C174" s="3">
        <v>7.9861111111111105E-2</v>
      </c>
      <c r="D174" s="3">
        <f>Tabla1[[#This Row],[Fecha]]+Tabla1[[#This Row],[Horas]]</f>
        <v>46287.354166666657</v>
      </c>
      <c r="E174" t="s">
        <v>284</v>
      </c>
      <c r="G174" t="s">
        <v>285</v>
      </c>
      <c r="H174" t="s">
        <v>286</v>
      </c>
    </row>
    <row r="175" spans="1:8" x14ac:dyDescent="0.25">
      <c r="A175" t="s">
        <v>12</v>
      </c>
      <c r="B175" s="1">
        <v>46287.354166666657</v>
      </c>
      <c r="C175" s="3">
        <v>2.0833333333333329E-2</v>
      </c>
      <c r="D175" s="3">
        <f>Tabla1[[#This Row],[Fecha]]+Tabla1[[#This Row],[Horas]]</f>
        <v>46287.374999999993</v>
      </c>
      <c r="E175" t="s">
        <v>287</v>
      </c>
      <c r="G175" t="s">
        <v>288</v>
      </c>
      <c r="H175" t="s">
        <v>289</v>
      </c>
    </row>
    <row r="176" spans="1:8" x14ac:dyDescent="0.25">
      <c r="A176" t="s">
        <v>12</v>
      </c>
      <c r="B176" s="1">
        <v>46287.375</v>
      </c>
      <c r="C176" s="3">
        <v>3.125E-2</v>
      </c>
      <c r="D176" s="3">
        <f>Tabla1[[#This Row],[Fecha]]+Tabla1[[#This Row],[Horas]]</f>
        <v>46287.40625</v>
      </c>
      <c r="E176" t="s">
        <v>15</v>
      </c>
      <c r="G176" t="s">
        <v>288</v>
      </c>
      <c r="H176" t="s">
        <v>290</v>
      </c>
    </row>
    <row r="177" spans="1:8" x14ac:dyDescent="0.25">
      <c r="A177" t="s">
        <v>12</v>
      </c>
      <c r="B177" s="1">
        <v>46287.40625</v>
      </c>
      <c r="C177" s="3">
        <v>4.1666666666666657E-2</v>
      </c>
      <c r="D177" s="3">
        <f>Tabla1[[#This Row],[Fecha]]+Tabla1[[#This Row],[Horas]]</f>
        <v>46287.447916666664</v>
      </c>
      <c r="E177" t="s">
        <v>287</v>
      </c>
      <c r="G177" t="s">
        <v>288</v>
      </c>
      <c r="H177" t="s">
        <v>291</v>
      </c>
    </row>
    <row r="178" spans="1:8" x14ac:dyDescent="0.25">
      <c r="A178" t="s">
        <v>8</v>
      </c>
      <c r="B178" s="1">
        <v>46287.447916666657</v>
      </c>
      <c r="C178" s="3">
        <v>1.041666666666667E-2</v>
      </c>
      <c r="D178" s="3">
        <f>Tabla1[[#This Row],[Fecha]]+Tabla1[[#This Row],[Horas]]</f>
        <v>46287.458333333321</v>
      </c>
      <c r="E178" t="s">
        <v>20</v>
      </c>
      <c r="G178" t="s">
        <v>288</v>
      </c>
      <c r="H178" t="s">
        <v>292</v>
      </c>
    </row>
    <row r="179" spans="1:8" x14ac:dyDescent="0.25">
      <c r="A179" t="s">
        <v>293</v>
      </c>
      <c r="B179" s="1">
        <v>46287.458333333343</v>
      </c>
      <c r="C179" s="3">
        <v>4.1666666666666657E-2</v>
      </c>
      <c r="D179" s="3">
        <f>Tabla1[[#This Row],[Fecha]]+Tabla1[[#This Row],[Horas]]</f>
        <v>46287.500000000007</v>
      </c>
      <c r="E179" t="s">
        <v>294</v>
      </c>
      <c r="G179" t="s">
        <v>288</v>
      </c>
      <c r="H179" t="s">
        <v>295</v>
      </c>
    </row>
    <row r="180" spans="1:8" x14ac:dyDescent="0.25">
      <c r="A180" t="s">
        <v>293</v>
      </c>
      <c r="B180" s="1">
        <v>46287.5</v>
      </c>
      <c r="C180" s="3">
        <v>8.3333333333333329E-2</v>
      </c>
      <c r="D180" s="3">
        <f>Tabla1[[#This Row],[Fecha]]+Tabla1[[#This Row],[Horas]]</f>
        <v>46287.583333333336</v>
      </c>
      <c r="E180" t="s">
        <v>296</v>
      </c>
      <c r="G180" t="s">
        <v>288</v>
      </c>
      <c r="H180" t="s">
        <v>297</v>
      </c>
    </row>
    <row r="181" spans="1:8" x14ac:dyDescent="0.25">
      <c r="A181" t="s">
        <v>293</v>
      </c>
      <c r="B181" s="1">
        <v>46287.625</v>
      </c>
      <c r="C181" s="3">
        <v>8.3333333333333329E-2</v>
      </c>
      <c r="D181" s="3">
        <f>Tabla1[[#This Row],[Fecha]]+Tabla1[[#This Row],[Horas]]</f>
        <v>46287.708333333336</v>
      </c>
      <c r="E181" t="s">
        <v>296</v>
      </c>
      <c r="G181" t="s">
        <v>288</v>
      </c>
      <c r="H181" t="s">
        <v>298</v>
      </c>
    </row>
    <row r="182" spans="1:8" x14ac:dyDescent="0.25">
      <c r="A182" t="s">
        <v>8</v>
      </c>
      <c r="B182" s="1">
        <v>46288.270833333343</v>
      </c>
      <c r="C182" s="3">
        <v>3.472222222222222E-3</v>
      </c>
      <c r="D182" s="3">
        <f>Tabla1[[#This Row],[Fecha]]+Tabla1[[#This Row],[Horas]]</f>
        <v>46288.274305555562</v>
      </c>
      <c r="E182" t="s">
        <v>9</v>
      </c>
      <c r="G182" t="s">
        <v>288</v>
      </c>
      <c r="H182" t="s">
        <v>299</v>
      </c>
    </row>
    <row r="183" spans="1:8" x14ac:dyDescent="0.25">
      <c r="A183" t="s">
        <v>293</v>
      </c>
      <c r="B183" s="1">
        <v>46288.274305555547</v>
      </c>
      <c r="C183" s="3">
        <v>6.7361111111111108E-2</v>
      </c>
      <c r="D183" s="3">
        <f>Tabla1[[#This Row],[Fecha]]+Tabla1[[#This Row],[Horas]]</f>
        <v>46288.34166666666</v>
      </c>
      <c r="E183" t="s">
        <v>300</v>
      </c>
      <c r="G183" t="s">
        <v>301</v>
      </c>
      <c r="H183" t="s">
        <v>302</v>
      </c>
    </row>
    <row r="184" spans="1:8" x14ac:dyDescent="0.25">
      <c r="A184" t="s">
        <v>12</v>
      </c>
      <c r="B184" s="1">
        <v>46288.341666666667</v>
      </c>
      <c r="C184" s="3">
        <v>1.041666666666667E-2</v>
      </c>
      <c r="D184" s="3">
        <f>Tabla1[[#This Row],[Fecha]]+Tabla1[[#This Row],[Horas]]</f>
        <v>46288.352083333331</v>
      </c>
      <c r="E184" t="s">
        <v>303</v>
      </c>
      <c r="G184" t="s">
        <v>301</v>
      </c>
      <c r="H184" t="s">
        <v>304</v>
      </c>
    </row>
    <row r="185" spans="1:8" x14ac:dyDescent="0.25">
      <c r="A185" t="s">
        <v>8</v>
      </c>
      <c r="B185" s="1">
        <v>46288.352083333331</v>
      </c>
      <c r="C185" s="3">
        <v>2.2916666666666669E-2</v>
      </c>
      <c r="D185" s="3">
        <f>Tabla1[[#This Row],[Fecha]]+Tabla1[[#This Row],[Horas]]</f>
        <v>46288.375</v>
      </c>
      <c r="E185" t="s">
        <v>305</v>
      </c>
      <c r="G185" t="s">
        <v>301</v>
      </c>
      <c r="H185" t="s">
        <v>306</v>
      </c>
    </row>
    <row r="186" spans="1:8" x14ac:dyDescent="0.25">
      <c r="A186" t="s">
        <v>12</v>
      </c>
      <c r="B186" s="1">
        <v>46288.375</v>
      </c>
      <c r="C186" s="3">
        <v>2.0833333333333329E-2</v>
      </c>
      <c r="D186" s="3">
        <f>Tabla1[[#This Row],[Fecha]]+Tabla1[[#This Row],[Horas]]</f>
        <v>46288.395833333336</v>
      </c>
      <c r="E186" t="s">
        <v>15</v>
      </c>
      <c r="G186" t="s">
        <v>301</v>
      </c>
      <c r="H186" t="s">
        <v>307</v>
      </c>
    </row>
    <row r="187" spans="1:8" x14ac:dyDescent="0.25">
      <c r="A187" t="s">
        <v>8</v>
      </c>
      <c r="B187" s="1">
        <v>46288.395833333343</v>
      </c>
      <c r="C187" s="3">
        <v>8.3333333333333329E-2</v>
      </c>
      <c r="D187" s="3">
        <f>Tabla1[[#This Row],[Fecha]]+Tabla1[[#This Row],[Horas]]</f>
        <v>46288.479166666679</v>
      </c>
      <c r="E187" t="s">
        <v>305</v>
      </c>
      <c r="G187" t="s">
        <v>301</v>
      </c>
      <c r="H187" t="s">
        <v>308</v>
      </c>
    </row>
    <row r="188" spans="1:8" x14ac:dyDescent="0.25">
      <c r="A188" t="s">
        <v>8</v>
      </c>
      <c r="B188" s="1">
        <v>46288.479166666657</v>
      </c>
      <c r="C188" s="3">
        <v>1.041666666666667E-2</v>
      </c>
      <c r="D188" s="3">
        <f>Tabla1[[#This Row],[Fecha]]+Tabla1[[#This Row],[Horas]]</f>
        <v>46288.489583333321</v>
      </c>
      <c r="E188" t="s">
        <v>20</v>
      </c>
      <c r="G188" t="s">
        <v>301</v>
      </c>
      <c r="H188" t="s">
        <v>309</v>
      </c>
    </row>
    <row r="189" spans="1:8" x14ac:dyDescent="0.25">
      <c r="A189" t="s">
        <v>8</v>
      </c>
      <c r="B189" s="1">
        <v>46288.489583333343</v>
      </c>
      <c r="C189" s="3">
        <v>9.375E-2</v>
      </c>
      <c r="D189" s="3">
        <f>Tabla1[[#This Row],[Fecha]]+Tabla1[[#This Row],[Horas]]</f>
        <v>46288.583333333343</v>
      </c>
      <c r="E189" t="s">
        <v>305</v>
      </c>
      <c r="G189" t="s">
        <v>301</v>
      </c>
      <c r="H189" t="s">
        <v>310</v>
      </c>
    </row>
    <row r="190" spans="1:8" x14ac:dyDescent="0.25">
      <c r="A190" t="s">
        <v>293</v>
      </c>
      <c r="B190" s="1">
        <v>46288.625</v>
      </c>
      <c r="C190" s="3">
        <v>0.125</v>
      </c>
      <c r="D190" s="3">
        <f>Tabla1[[#This Row],[Fecha]]+Tabla1[[#This Row],[Horas]]</f>
        <v>46288.75</v>
      </c>
      <c r="E190" t="s">
        <v>311</v>
      </c>
      <c r="G190" t="s">
        <v>301</v>
      </c>
      <c r="H190" t="s">
        <v>312</v>
      </c>
    </row>
    <row r="191" spans="1:8" x14ac:dyDescent="0.25">
      <c r="A191" t="s">
        <v>8</v>
      </c>
      <c r="B191" s="1">
        <v>46289.270833333343</v>
      </c>
      <c r="C191" s="3">
        <v>3.472222222222222E-3</v>
      </c>
      <c r="D191" s="3">
        <f>Tabla1[[#This Row],[Fecha]]+Tabla1[[#This Row],[Horas]]</f>
        <v>46289.274305555562</v>
      </c>
      <c r="E191" t="s">
        <v>9</v>
      </c>
      <c r="G191" t="s">
        <v>301</v>
      </c>
      <c r="H191" t="s">
        <v>313</v>
      </c>
    </row>
    <row r="192" spans="1:8" x14ac:dyDescent="0.25">
      <c r="A192" t="s">
        <v>293</v>
      </c>
      <c r="B192" s="1">
        <v>46288.274305555547</v>
      </c>
      <c r="C192" s="3">
        <v>0.10069444444444441</v>
      </c>
      <c r="D192" s="3">
        <f>Tabla1[[#This Row],[Fecha]]+Tabla1[[#This Row],[Horas]]</f>
        <v>46288.374999999993</v>
      </c>
      <c r="E192" t="s">
        <v>314</v>
      </c>
      <c r="G192" t="s">
        <v>301</v>
      </c>
      <c r="H192" t="s">
        <v>315</v>
      </c>
    </row>
    <row r="193" spans="1:8" x14ac:dyDescent="0.25">
      <c r="A193" t="s">
        <v>12</v>
      </c>
      <c r="B193" s="1">
        <v>46288.375</v>
      </c>
      <c r="C193" s="3">
        <v>1.041666666666667E-2</v>
      </c>
      <c r="D193" s="3">
        <f>Tabla1[[#This Row],[Fecha]]+Tabla1[[#This Row],[Horas]]</f>
        <v>46288.385416666664</v>
      </c>
      <c r="E193" t="s">
        <v>15</v>
      </c>
      <c r="G193" t="s">
        <v>301</v>
      </c>
      <c r="H193" t="s">
        <v>316</v>
      </c>
    </row>
    <row r="194" spans="1:8" x14ac:dyDescent="0.25">
      <c r="A194" t="s">
        <v>8</v>
      </c>
      <c r="B194" s="1">
        <v>46290.270833333336</v>
      </c>
      <c r="C194" s="3">
        <v>3.472222222222222E-3</v>
      </c>
      <c r="D194" s="3">
        <f>Tabla1[[#This Row],[Fecha]]+Tabla1[[#This Row],[Horas]]</f>
        <v>46290.274305555555</v>
      </c>
      <c r="E194" t="s">
        <v>9</v>
      </c>
    </row>
    <row r="195" spans="1:8" x14ac:dyDescent="0.25">
      <c r="A195" t="s">
        <v>8</v>
      </c>
      <c r="B195" s="1">
        <v>46290.333333333336</v>
      </c>
      <c r="C195" s="3">
        <v>6.9444444444444441E-3</v>
      </c>
      <c r="D195" s="3">
        <f>Tabla1[[#This Row],[Fecha]]+Tabla1[[#This Row],[Horas]]</f>
        <v>46290.340277777781</v>
      </c>
      <c r="E195" t="s">
        <v>317</v>
      </c>
    </row>
    <row r="196" spans="1:8" x14ac:dyDescent="0.25">
      <c r="A196" t="s">
        <v>8</v>
      </c>
      <c r="B196" s="1">
        <v>46290.340277777781</v>
      </c>
      <c r="C196" s="3">
        <v>1.3888888888888888E-2</v>
      </c>
      <c r="D196" s="3">
        <f>Tabla1[[#This Row],[Fecha]]+Tabla1[[#This Row],[Horas]]</f>
        <v>46290.354166666672</v>
      </c>
      <c r="E196" t="s">
        <v>318</v>
      </c>
    </row>
    <row r="197" spans="1:8" x14ac:dyDescent="0.25">
      <c r="A197" t="s">
        <v>12</v>
      </c>
      <c r="B197" s="1">
        <v>46290.375</v>
      </c>
      <c r="C197" s="3">
        <v>1.3888888888888888E-2</v>
      </c>
      <c r="D197" s="3">
        <f>Tabla1[[#This Row],[Fecha]]+Tabla1[[#This Row],[Horas]]</f>
        <v>46290.388888888891</v>
      </c>
      <c r="E197" t="s">
        <v>15</v>
      </c>
    </row>
    <row r="198" spans="1:8" x14ac:dyDescent="0.25">
      <c r="A198" t="s">
        <v>8</v>
      </c>
      <c r="B198" s="1">
        <v>46290.388888888891</v>
      </c>
      <c r="C198" s="3">
        <v>2.7777777777777776E-2</v>
      </c>
      <c r="D198" s="3">
        <f>Tabla1[[#This Row],[Fecha]]+Tabla1[[#This Row],[Horas]]</f>
        <v>46290.416666666672</v>
      </c>
      <c r="E198" t="s">
        <v>319</v>
      </c>
    </row>
    <row r="199" spans="1:8" x14ac:dyDescent="0.25">
      <c r="A199" t="s">
        <v>8</v>
      </c>
      <c r="B199" s="1">
        <v>46290.416666666664</v>
      </c>
      <c r="C199" s="3">
        <v>2.7777777777777776E-2</v>
      </c>
      <c r="D199" s="3">
        <f>Tabla1[[#This Row],[Fecha]]+Tabla1[[#This Row],[Horas]]</f>
        <v>46290.444444444445</v>
      </c>
      <c r="E199" t="s">
        <v>265</v>
      </c>
    </row>
    <row r="200" spans="1:8" x14ac:dyDescent="0.25">
      <c r="A200" t="s">
        <v>12</v>
      </c>
      <c r="B200" s="1">
        <v>46290.444444444445</v>
      </c>
      <c r="C200" s="3">
        <v>1.3888888888888888E-2</v>
      </c>
      <c r="D200" s="3">
        <f>Tabla1[[#This Row],[Fecha]]+Tabla1[[#This Row],[Horas]]</f>
        <v>46290.458333333336</v>
      </c>
      <c r="E200" t="s">
        <v>321</v>
      </c>
    </row>
    <row r="201" spans="1:8" x14ac:dyDescent="0.25">
      <c r="A201" t="s">
        <v>8</v>
      </c>
      <c r="B201" s="1">
        <v>46288.458333333336</v>
      </c>
      <c r="C201" s="3">
        <v>2.7777777777777776E-2</v>
      </c>
      <c r="D201" s="3">
        <f>Tabla1[[#This Row],[Fecha]]+Tabla1[[#This Row],[Horas]]</f>
        <v>46288.486111111117</v>
      </c>
      <c r="E201" t="s">
        <v>320</v>
      </c>
    </row>
    <row r="202" spans="1:8" x14ac:dyDescent="0.25">
      <c r="A202" t="s">
        <v>12</v>
      </c>
      <c r="B202" s="1">
        <v>46290.472222222219</v>
      </c>
      <c r="C202" s="3">
        <v>2.7777777777777776E-2</v>
      </c>
      <c r="D202" s="3">
        <f>Tabla1[[#This Row],[Fecha]]+Tabla1[[#This Row],[Horas]]</f>
        <v>46290.5</v>
      </c>
      <c r="E202" t="s">
        <v>321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2026-09-25T16:42:53Z</dcterms:modified>
</cp:coreProperties>
</file>